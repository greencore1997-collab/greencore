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 Parcial" sheetId="1" state="visible" r:id="rId1"/>
    <sheet xmlns:r="http://schemas.openxmlformats.org/officeDocument/2006/relationships" name="Liquidación" sheetId="2" state="visible" r:id="rId2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" customWidth="1" min="3" max="3"/>
    <col width="13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24" customWidth="1" min="10" max="10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ACTA DE RECIBO PARCIAL DE OBRA</t>
        </is>
      </c>
    </row>
    <row r="3" ht="16" customHeight="1">
      <c r="A3" s="3" t="inlineStr">
        <is>
          <t>Acta N°: ____  Contrato: ________________  Período: _________ al _________</t>
        </is>
      </c>
    </row>
    <row r="5">
      <c r="A5" s="4" t="inlineStr">
        <is>
          <t>Ítem</t>
        </is>
      </c>
      <c r="B5" s="4" t="inlineStr">
        <is>
          <t>Descripción</t>
        </is>
      </c>
      <c r="C5" s="4" t="inlineStr">
        <is>
          <t>Und</t>
        </is>
      </c>
      <c r="D5" s="4" t="inlineStr">
        <is>
          <t>Cant. Contrat.</t>
        </is>
      </c>
      <c r="E5" s="4" t="inlineStr">
        <is>
          <t>Cant. Acumulada</t>
        </is>
      </c>
      <c r="F5" s="4" t="inlineStr">
        <is>
          <t>Cant. Este Período</t>
        </is>
      </c>
      <c r="G5" s="4" t="inlineStr">
        <is>
          <t>V.Unit ($)</t>
        </is>
      </c>
      <c r="H5" s="4" t="inlineStr">
        <is>
          <t>V.Acta ($)</t>
        </is>
      </c>
      <c r="I5" s="4" t="inlineStr">
        <is>
          <t>V.Acum ($)</t>
        </is>
      </c>
      <c r="J5" s="4" t="inlineStr">
        <is>
          <t>Observación</t>
        </is>
      </c>
    </row>
    <row r="6">
      <c r="A6" s="5" t="inlineStr">
        <is>
          <t>1.1</t>
        </is>
      </c>
      <c r="B6" s="5" t="inlineStr">
        <is>
          <t>Preliminares - descapote</t>
        </is>
      </c>
      <c r="C6" s="5" t="inlineStr">
        <is>
          <t>m²</t>
        </is>
      </c>
      <c r="D6" s="5" t="n">
        <v>500</v>
      </c>
      <c r="E6" s="5" t="n">
        <v>500</v>
      </c>
      <c r="F6" s="5" t="n">
        <v>0</v>
      </c>
      <c r="G6" s="5" t="n">
        <v>8500</v>
      </c>
      <c r="H6" s="6" t="n">
        <v>0</v>
      </c>
      <c r="I6" s="6" t="n">
        <v>4250000</v>
      </c>
      <c r="J6" s="5" t="inlineStr"/>
    </row>
    <row r="7">
      <c r="A7" s="7" t="inlineStr">
        <is>
          <t>1.2</t>
        </is>
      </c>
      <c r="B7" s="7" t="inlineStr">
        <is>
          <t>Excavaciones manuales h&lt;1.5m</t>
        </is>
      </c>
      <c r="C7" s="7" t="inlineStr">
        <is>
          <t>m³</t>
        </is>
      </c>
      <c r="D7" s="7" t="n">
        <v>120</v>
      </c>
      <c r="E7" s="7" t="n">
        <v>80</v>
      </c>
      <c r="F7" s="7" t="n">
        <v>40</v>
      </c>
      <c r="G7" s="7" t="n">
        <v>45000</v>
      </c>
      <c r="H7" s="8" t="n">
        <v>1800000</v>
      </c>
      <c r="I7" s="8" t="n">
        <v>3600000</v>
      </c>
      <c r="J7" s="7" t="inlineStr"/>
    </row>
    <row r="8">
      <c r="A8" s="5" t="inlineStr">
        <is>
          <t>2.1</t>
        </is>
      </c>
      <c r="B8" s="5" t="inlineStr">
        <is>
          <t>Concreto simple 2500 PSI</t>
        </is>
      </c>
      <c r="C8" s="5" t="inlineStr">
        <is>
          <t>m³</t>
        </is>
      </c>
      <c r="D8" s="5" t="n">
        <v>60</v>
      </c>
      <c r="E8" s="5" t="n">
        <v>30</v>
      </c>
      <c r="F8" s="5" t="n">
        <v>15</v>
      </c>
      <c r="G8" s="5" t="n">
        <v>320000</v>
      </c>
      <c r="H8" s="6" t="n">
        <v>4800000</v>
      </c>
      <c r="I8" s="6" t="n">
        <v>9600000</v>
      </c>
      <c r="J8" s="5" t="inlineStr"/>
    </row>
    <row r="9">
      <c r="A9" s="7" t="inlineStr">
        <is>
          <t>2.2</t>
        </is>
      </c>
      <c r="B9" s="7" t="inlineStr">
        <is>
          <t>Concreto reforzado 3000 PSI</t>
        </is>
      </c>
      <c r="C9" s="7" t="inlineStr">
        <is>
          <t>m³</t>
        </is>
      </c>
      <c r="D9" s="7" t="n">
        <v>80</v>
      </c>
      <c r="E9" s="7" t="n">
        <v>40</v>
      </c>
      <c r="F9" s="7" t="n">
        <v>20</v>
      </c>
      <c r="G9" s="7" t="n">
        <v>480000</v>
      </c>
      <c r="H9" s="8" t="n">
        <v>9600000</v>
      </c>
      <c r="I9" s="8" t="n">
        <v>19200000</v>
      </c>
      <c r="J9" s="7" t="inlineStr"/>
    </row>
    <row r="10">
      <c r="A10" s="5" t="inlineStr">
        <is>
          <t>3.1</t>
        </is>
      </c>
      <c r="B10" s="5" t="inlineStr">
        <is>
          <t>Acero de refuerzo fy=420</t>
        </is>
      </c>
      <c r="C10" s="5" t="inlineStr">
        <is>
          <t>kg</t>
        </is>
      </c>
      <c r="D10" s="5" t="n">
        <v>3000</v>
      </c>
      <c r="E10" s="5" t="n">
        <v>1500</v>
      </c>
      <c r="F10" s="5" t="n">
        <v>750</v>
      </c>
      <c r="G10" s="5" t="n">
        <v>4200</v>
      </c>
      <c r="H10" s="6" t="n">
        <v>3150000</v>
      </c>
      <c r="I10" s="6" t="n">
        <v>6300000</v>
      </c>
      <c r="J10" s="5" t="inlineStr"/>
    </row>
    <row r="11">
      <c r="A11" s="7" t="inlineStr">
        <is>
          <t>3.2</t>
        </is>
      </c>
      <c r="B11" s="7" t="inlineStr">
        <is>
          <t>Mampostería bloque 20x20x40</t>
        </is>
      </c>
      <c r="C11" s="7" t="inlineStr">
        <is>
          <t>m²</t>
        </is>
      </c>
      <c r="D11" s="7" t="n">
        <v>400</v>
      </c>
      <c r="E11" s="7" t="n">
        <v>200</v>
      </c>
      <c r="F11" s="7" t="n">
        <v>80</v>
      </c>
      <c r="G11" s="7" t="n">
        <v>38000</v>
      </c>
      <c r="H11" s="8" t="n">
        <v>3040000</v>
      </c>
      <c r="I11" s="8" t="n">
        <v>7600000</v>
      </c>
      <c r="J11" s="7" t="inlineStr"/>
    </row>
    <row r="13">
      <c r="H13" s="9">
        <f>SUM(H6:H12)</f>
        <v/>
      </c>
      <c r="I13" s="9">
        <f>SUM(I6:I12)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28" customWidth="1" min="7" max="7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ACTA DE LIQUIDACIÓN DE CONTRATO</t>
        </is>
      </c>
    </row>
    <row r="5">
      <c r="A5" s="4" t="inlineStr">
        <is>
          <t>Concepto</t>
        </is>
      </c>
      <c r="B5" s="4" t="inlineStr">
        <is>
          <t>Valor Contrato ($)</t>
        </is>
      </c>
      <c r="C5" s="4" t="inlineStr">
        <is>
          <t>Ejecutado ($)</t>
        </is>
      </c>
      <c r="D5" s="4" t="inlineStr">
        <is>
          <t>Diferencia ($)</t>
        </is>
      </c>
      <c r="E5" s="4" t="inlineStr">
        <is>
          <t>% Ejecución</t>
        </is>
      </c>
      <c r="F5" s="4" t="inlineStr">
        <is>
          <t>Estado</t>
        </is>
      </c>
      <c r="G5" s="4" t="inlineStr">
        <is>
          <t>Observaciones</t>
        </is>
      </c>
    </row>
    <row r="6">
      <c r="A6" s="5" t="inlineStr">
        <is>
          <t>Obras civiles estructurales</t>
        </is>
      </c>
      <c r="B6" s="6" t="n">
        <v>850000000</v>
      </c>
      <c r="C6" s="6" t="n">
        <v>830000000</v>
      </c>
      <c r="D6" s="6" t="n">
        <v>-20000000</v>
      </c>
      <c r="E6" s="5" t="inlineStr">
        <is>
          <t>97.6%</t>
        </is>
      </c>
      <c r="F6" s="5" t="inlineStr">
        <is>
          <t>OK</t>
        </is>
      </c>
      <c r="G6" s="5" t="inlineStr"/>
    </row>
    <row r="7">
      <c r="A7" s="7" t="inlineStr">
        <is>
          <t>Instalaciones hidrosanitarias</t>
        </is>
      </c>
      <c r="B7" s="8" t="n">
        <v>120000000</v>
      </c>
      <c r="C7" s="8" t="n">
        <v>118000000</v>
      </c>
      <c r="D7" s="8" t="n">
        <v>-2000000</v>
      </c>
      <c r="E7" s="7" t="inlineStr">
        <is>
          <t>98.3%</t>
        </is>
      </c>
      <c r="F7" s="7" t="inlineStr">
        <is>
          <t>OK</t>
        </is>
      </c>
      <c r="G7" s="7" t="inlineStr"/>
    </row>
    <row r="8">
      <c r="A8" s="5" t="inlineStr">
        <is>
          <t>Instalaciones eléctricas</t>
        </is>
      </c>
      <c r="B8" s="6" t="n">
        <v>95000000</v>
      </c>
      <c r="C8" s="6" t="n">
        <v>95000000</v>
      </c>
      <c r="D8" s="6" t="n">
        <v>0</v>
      </c>
      <c r="E8" s="5" t="inlineStr">
        <is>
          <t>100.0%</t>
        </is>
      </c>
      <c r="F8" s="5" t="inlineStr">
        <is>
          <t>OK</t>
        </is>
      </c>
      <c r="G8" s="5" t="inlineStr"/>
    </row>
    <row r="9">
      <c r="A9" s="7" t="inlineStr">
        <is>
          <t>Obras exteriores</t>
        </is>
      </c>
      <c r="B9" s="8" t="n">
        <v>45000000</v>
      </c>
      <c r="C9" s="8" t="n">
        <v>38000000</v>
      </c>
      <c r="D9" s="8" t="n">
        <v>-7000000</v>
      </c>
      <c r="E9" s="7" t="inlineStr">
        <is>
          <t>84.4%</t>
        </is>
      </c>
      <c r="F9" s="7" t="inlineStr">
        <is>
          <t>Revisión</t>
        </is>
      </c>
      <c r="G9" s="7" t="inlineStr"/>
    </row>
    <row r="10">
      <c r="A10" s="5" t="inlineStr">
        <is>
          <t>Imprevistos y administración</t>
        </is>
      </c>
      <c r="B10" s="6" t="n">
        <v>90000000</v>
      </c>
      <c r="C10" s="6" t="n">
        <v>85000000</v>
      </c>
      <c r="D10" s="6" t="n">
        <v>-5000000</v>
      </c>
      <c r="E10" s="5" t="inlineStr">
        <is>
          <t>94.4%</t>
        </is>
      </c>
      <c r="F10" s="5" t="inlineStr">
        <is>
          <t>Revisión</t>
        </is>
      </c>
      <c r="G10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2026-10-15T13:18:54Z</dcterms:created>
  <dcterms:modified xmlns:dcterms="http://purl.org/dc/terms/" xmlns:xsi="http://www.w3.org/2001/XMLSchema-instance" xsi:type="dcterms:W3CDTF">2026-10-15T13:18:54Z</dcterms:modified>
</cp:coreProperties>
</file>